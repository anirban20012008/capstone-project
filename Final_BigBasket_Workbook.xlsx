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Targets" sheetId="3" r:id="rId7"/>
    <sheet state="visible" name="Category Summary shee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<sst xmlns="http://schemas.openxmlformats.org/spreadsheetml/2006/main" count="78" uniqueCount="21">
  <si>
    <t>category</t>
  </si>
  <si>
    <t>month</t>
  </si>
  <si>
    <t>order_count</t>
  </si>
  <si>
    <t>total_revenue</t>
  </si>
  <si>
    <t>avg_revenue</t>
  </si>
  <si>
    <t>Bakery</t>
  </si>
  <si>
    <t>Category</t>
  </si>
  <si>
    <t>target_revenue_inr</t>
  </si>
  <si>
    <t>variance</t>
  </si>
  <si>
    <t>% variance</t>
  </si>
  <si>
    <t>Remark</t>
  </si>
  <si>
    <t>Dairy &amp; Eggs</t>
  </si>
  <si>
    <t>Matches Part 1 SQL total?</t>
  </si>
  <si>
    <t>Fruits &amp; Vegetables</t>
  </si>
  <si>
    <t>Snacks &amp; Beverages</t>
  </si>
  <si>
    <t>Personal Care</t>
  </si>
  <si>
    <t>Household Essentials</t>
  </si>
  <si>
    <t>yes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</si>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</sst>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15173"/>
      <name val="Inter"/>
    </font>
    <font>
      <sz val="9.0"/>
      <color rgb="FF41517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/>
    <border>
      <top style="thin">
        <color rgb="FFD8DEE4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11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11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11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11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11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11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13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13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13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13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13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13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16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16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16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16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16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16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15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15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15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15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15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15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14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14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14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14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14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14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19.38"/>
    <col customWidth="1" min="3" max="3" width="16.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13"/>
  </cols>
  <sheetData>
    <row r="1">
      <c r="A1" s="3" t="s">
        <v>0</v>
      </c>
      <c r="B1" s="3" t="s">
        <v>7</v>
      </c>
    </row>
    <row r="2">
      <c r="A2" s="6" t="s">
        <v>13</v>
      </c>
      <c r="B2" s="6">
        <v>12000.0</v>
      </c>
    </row>
    <row r="3">
      <c r="A3" s="7" t="s">
        <v>11</v>
      </c>
      <c r="B3" s="7">
        <v>16500.0</v>
      </c>
    </row>
    <row r="4">
      <c r="A4" s="6" t="s">
        <v>14</v>
      </c>
      <c r="B4" s="6">
        <v>13000.0</v>
      </c>
    </row>
    <row r="5">
      <c r="A5" s="7" t="s">
        <v>15</v>
      </c>
      <c r="B5" s="7">
        <v>15500.0</v>
      </c>
    </row>
    <row r="6">
      <c r="A6" s="6" t="s">
        <v>16</v>
      </c>
      <c r="B6" s="6">
        <v>17000.0</v>
      </c>
    </row>
    <row r="7">
      <c r="A7" s="7" t="s">
        <v>5</v>
      </c>
      <c r="B7" s="7">
        <v>12000.0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7.0"/>
    <col customWidth="1" min="4" max="4" width="9.75"/>
    <col customWidth="1" min="5" max="5" width="11.25"/>
    <col customWidth="1" min="6" max="6" width="17.25"/>
    <col customWidth="1" min="7" max="7" width="18.63"/>
  </cols>
  <sheetData>
    <row r="1">
      <c r="A1" s="1" t="s">
        <v>6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4" t="s">
        <v>12</v>
      </c>
    </row>
    <row r="2">
      <c r="A2" s="5" t="s">
        <v>5</v>
      </c>
      <c r="B2" s="5">
        <f t="array" ref="B2">_xlfn.XLOOKUP(A2,'Pivot Table 1'!A:A,'Pivot Table 1'!B:B)</f>
        <v>15410</v>
      </c>
      <c r="C2" s="5">
        <f t="array" ref="C2">_xlfn.XLOOKUP(A2,'Category Targets'!A:A,'Category Targets'!B:B,"Not Found")</f>
        <v>12000</v>
      </c>
      <c r="D2" s="5">
        <f t="shared" ref="D2:D7" si="1">C2-B2</f>
        <v>-3410</v>
      </c>
      <c r="E2" s="1">
        <f t="shared" ref="E2:E7" si="2">((B2-C2)/C2)*100</f>
        <v>28.41666667</v>
      </c>
      <c r="F2" s="5" t="str">
        <f t="shared" ref="F2:F7" si="3">IF(B2&gt;=C2,"Above Target",IF((B2-C2)/C2&gt;=-0.15,"Below Target - Watch","Below Target - Critical"))</f>
        <v>Above Target</v>
      </c>
      <c r="G2" s="1" t="s">
        <v>17</v>
      </c>
    </row>
    <row r="3">
      <c r="A3" s="5" t="s">
        <v>11</v>
      </c>
      <c r="B3" s="5">
        <f t="array" ref="B3">_xlfn.XLOOKUP(A3,'Pivot Table 1'!A:A,'Pivot Table 1'!B:B)</f>
        <v>14090</v>
      </c>
      <c r="C3" s="5">
        <f t="array" ref="C3">_xlfn.XLOOKUP(A3,'Category Targets'!A:A,'Category Targets'!B:B,"Not Found")</f>
        <v>16500</v>
      </c>
      <c r="D3" s="5">
        <f t="shared" si="1"/>
        <v>2410</v>
      </c>
      <c r="E3" s="1">
        <f t="shared" si="2"/>
        <v>-14.60606061</v>
      </c>
      <c r="F3" s="5" t="str">
        <f t="shared" si="3"/>
        <v>Below Target - Watch</v>
      </c>
      <c r="G3" s="1" t="s">
        <v>17</v>
      </c>
    </row>
    <row r="4">
      <c r="A4" s="5" t="s">
        <v>13</v>
      </c>
      <c r="B4" s="5">
        <f t="array" ref="B4">_xlfn.XLOOKUP(A4,'Pivot Table 1'!A:A,'Pivot Table 1'!B:B)</f>
        <v>9790</v>
      </c>
      <c r="C4" s="5">
        <f t="array" ref="C4">_xlfn.XLOOKUP(A4,'Category Targets'!A:A,'Category Targets'!B:B,"Not Found")</f>
        <v>12000</v>
      </c>
      <c r="D4" s="5">
        <f t="shared" si="1"/>
        <v>2210</v>
      </c>
      <c r="E4" s="1">
        <f t="shared" si="2"/>
        <v>-18.41666667</v>
      </c>
      <c r="F4" s="5" t="str">
        <f t="shared" si="3"/>
        <v>Below Target - Critical</v>
      </c>
      <c r="G4" s="1" t="s">
        <v>17</v>
      </c>
    </row>
    <row r="5">
      <c r="A5" s="5" t="s">
        <v>16</v>
      </c>
      <c r="B5" s="5">
        <f t="array" ref="B5">_xlfn.XLOOKUP(A5,'Pivot Table 1'!A:A,'Pivot Table 1'!B:B)</f>
        <v>21715</v>
      </c>
      <c r="C5" s="5">
        <f t="array" ref="C5">_xlfn.XLOOKUP(A5,'Category Targets'!A:A,'Category Targets'!B:B,"Not Found")</f>
        <v>17000</v>
      </c>
      <c r="D5" s="5">
        <f t="shared" si="1"/>
        <v>-4715</v>
      </c>
      <c r="E5" s="1">
        <f t="shared" si="2"/>
        <v>27.73529412</v>
      </c>
      <c r="F5" s="5" t="str">
        <f t="shared" si="3"/>
        <v>Above Target</v>
      </c>
      <c r="G5" s="1" t="s">
        <v>17</v>
      </c>
    </row>
    <row r="6">
      <c r="A6" s="5" t="s">
        <v>15</v>
      </c>
      <c r="B6" s="5">
        <f t="array" ref="B6">_xlfn.XLOOKUP(A6,'Pivot Table 1'!A:A,'Pivot Table 1'!B:B)</f>
        <v>16382</v>
      </c>
      <c r="C6" s="5">
        <f t="array" ref="C6">_xlfn.XLOOKUP(A6,'Category Targets'!A:A,'Category Targets'!B:B,"Not Found")</f>
        <v>15500</v>
      </c>
      <c r="D6" s="5">
        <f t="shared" si="1"/>
        <v>-882</v>
      </c>
      <c r="E6" s="1">
        <f t="shared" si="2"/>
        <v>5.690322581</v>
      </c>
      <c r="F6" s="5" t="str">
        <f t="shared" si="3"/>
        <v>Above Target</v>
      </c>
      <c r="G6" s="1" t="s">
        <v>17</v>
      </c>
    </row>
    <row r="7">
      <c r="A7" s="5" t="s">
        <v>14</v>
      </c>
      <c r="B7" s="5">
        <f t="array" ref="B7">_xlfn.XLOOKUP(A7,'Pivot Table 1'!A:A,'Pivot Table 1'!B:B)</f>
        <v>10895</v>
      </c>
      <c r="C7" s="5">
        <f t="array" ref="C7">_xlfn.XLOOKUP(A7,'Category Targets'!A:A,'Category Targets'!B:B,"Not Found")</f>
        <v>13000</v>
      </c>
      <c r="D7" s="5">
        <f t="shared" si="1"/>
        <v>2105</v>
      </c>
      <c r="E7" s="1">
        <f t="shared" si="2"/>
        <v>-16.19230769</v>
      </c>
      <c r="F7" s="5" t="str">
        <f t="shared" si="3"/>
        <v>Below Target - Critical</v>
      </c>
      <c r="G7" s="1" t="s">
        <v>17</v>
      </c>
    </row>
  </sheetData>
  <conditionalFormatting sqref="F2:F7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2:F7">
    <cfRule type="containsText" dxfId="0" priority="2" operator="containsText" text="Above Target">
      <formula>NOT(ISERROR(SEARCH(("Above Target"),(F2))))</formula>
    </cfRule>
  </conditionalFormatting>
  <conditionalFormatting sqref="F2:F7">
    <cfRule type="containsText" dxfId="1" priority="3" operator="containsText" text="Below Target - Watch">
      <formula>NOT(ISERROR(SEARCH(("Below Target - Watch"),(F2))))</formula>
    </cfRule>
  </conditionalFormatting>
  <conditionalFormatting sqref="F3">
    <cfRule type="containsText" dxfId="1" priority="4" operator="containsText" text="Below Target - Watch">
      <formula>NOT(ISERROR(SEARCH(("Below Target - Watch"),(F3))))</formula>
    </cfRule>
  </conditionalFormatting>
  <conditionalFormatting sqref="F4:F7">
    <cfRule type="containsText" dxfId="2" priority="5" operator="containsText" text="Below Target - Watch">
      <formula>NOT(ISERROR(SEARCH(("Below Target - Watch"),(F4))))</formula>
    </cfRule>
  </conditionalFormatting>
  <conditionalFormatting sqref="F4:F7">
    <cfRule type="containsText" dxfId="3" priority="6" operator="containsText" text="Below Target - Critical">
      <formula>NOT(ISERROR(SEARCH(("Below Target - Critical"),(F4))))</formula>
    </cfRule>
  </conditionalFormatting>
  <drawing r:id="rId1"/>
</worksheet>
</file>